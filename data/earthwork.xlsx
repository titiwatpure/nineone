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itiw\Desktop\Dashboard เว็บไซต์สำหรับงาน Earthwork\earthwork_dashboard\data\"/>
    </mc:Choice>
  </mc:AlternateContent>
  <xr:revisionPtr revIDLastSave="0" documentId="13_ncr:1_{59B90CAC-E36D-4978-8292-3F683E9C940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ummary" sheetId="1" r:id="rId1"/>
    <sheet name="STA_Progress" sheetId="2" r:id="rId2"/>
    <sheet name="Layer_Progress" sheetId="3" r:id="rId3"/>
    <sheet name="QAQC_Tests" sheetId="4" r:id="rId4"/>
    <sheet name="Daily_Progress" sheetId="5" r:id="rId5"/>
  </sheets>
  <calcPr calcId="191029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<sst xmlns="http://schemas.openxmlformats.org/spreadsheetml/2006/main" count="200" uniqueCount="111">
  <si>
    <t>project_name</t>
  </si>
  <si>
    <t>project_code</t>
  </si>
  <si>
    <t>total_volume</t>
  </si>
  <si>
    <t>completed_volume</t>
  </si>
  <si>
    <t>remaining_volume</t>
  </si>
  <si>
    <t>start_date</t>
  </si>
  <si>
    <t>end_date</t>
  </si>
  <si>
    <t>Highway Construction Project A</t>
  </si>
  <si>
    <t>HWY-001</t>
  </si>
  <si>
    <t>2026-01-01</t>
  </si>
  <si>
    <t>2026-12-31</t>
  </si>
  <si>
    <t>sta_name</t>
  </si>
  <si>
    <t>sta_from</t>
  </si>
  <si>
    <t>sta_to</t>
  </si>
  <si>
    <t>design_volume</t>
  </si>
  <si>
    <t>status</t>
  </si>
  <si>
    <t>STA 0+000 - 0+500</t>
  </si>
  <si>
    <t>0+000</t>
  </si>
  <si>
    <t>0+500</t>
  </si>
  <si>
    <t>in_progress</t>
  </si>
  <si>
    <t>STA 0+500 - 1+000</t>
  </si>
  <si>
    <t>1+000</t>
  </si>
  <si>
    <t>completed</t>
  </si>
  <si>
    <t>STA 1+000 - 1+500</t>
  </si>
  <si>
    <t>1+500</t>
  </si>
  <si>
    <t>STA 1+500 - 2+000</t>
  </si>
  <si>
    <t>2+000</t>
  </si>
  <si>
    <t>STA 2+000 - 2+500</t>
  </si>
  <si>
    <t>2+500</t>
  </si>
  <si>
    <t>not_started</t>
  </si>
  <si>
    <t>layer_number</t>
  </si>
  <si>
    <t>layer_name</t>
  </si>
  <si>
    <t>thickness</t>
  </si>
  <si>
    <t>completion_date</t>
  </si>
  <si>
    <t>Subgrade</t>
  </si>
  <si>
    <t>2026-02-15</t>
  </si>
  <si>
    <t>Sub-base</t>
  </si>
  <si>
    <t>2026-02-28</t>
  </si>
  <si>
    <t>Base</t>
  </si>
  <si>
    <t>Wearing Course</t>
  </si>
  <si>
    <t>2026-01-30</t>
  </si>
  <si>
    <t>2026-02-10</t>
  </si>
  <si>
    <t>2026-02-20</t>
  </si>
  <si>
    <t>2026-03-01</t>
  </si>
  <si>
    <t>2026-02-25</t>
  </si>
  <si>
    <t>test_date</t>
  </si>
  <si>
    <t>test_type</t>
  </si>
  <si>
    <t>test_location</t>
  </si>
  <si>
    <t>field_density</t>
  </si>
  <si>
    <t>max_dry_density</t>
  </si>
  <si>
    <t>compaction_percent</t>
  </si>
  <si>
    <t>moisture_content</t>
  </si>
  <si>
    <t>optimum_moisture</t>
  </si>
  <si>
    <t>result</t>
  </si>
  <si>
    <t>tested_by</t>
  </si>
  <si>
    <t>2026-02-14</t>
  </si>
  <si>
    <t>Field Density</t>
  </si>
  <si>
    <t>0+100 LT</t>
  </si>
  <si>
    <t>pass</t>
  </si>
  <si>
    <t>Engineer A</t>
  </si>
  <si>
    <t>2026-02-27</t>
  </si>
  <si>
    <t>0+250 CL</t>
  </si>
  <si>
    <t>2026-03-05</t>
  </si>
  <si>
    <t>0+400 RT</t>
  </si>
  <si>
    <t>fail</t>
  </si>
  <si>
    <t>2026-01-29</t>
  </si>
  <si>
    <t>0+600 CL</t>
  </si>
  <si>
    <t>Engineer B</t>
  </si>
  <si>
    <t>2026-02-09</t>
  </si>
  <si>
    <t>CBR Test</t>
  </si>
  <si>
    <t>0+750 RT</t>
  </si>
  <si>
    <t>2026-02-19</t>
  </si>
  <si>
    <t>0+900 LT</t>
  </si>
  <si>
    <t>2026-02-24</t>
  </si>
  <si>
    <t>1+100 CL</t>
  </si>
  <si>
    <t>Engineer C</t>
  </si>
  <si>
    <t>2026-03-04</t>
  </si>
  <si>
    <t>1+300 RT</t>
  </si>
  <si>
    <t>record_date</t>
  </si>
  <si>
    <t>daily_volume</t>
  </si>
  <si>
    <t>cumulative_volume</t>
  </si>
  <si>
    <t>weather</t>
  </si>
  <si>
    <t>manpower</t>
  </si>
  <si>
    <t>equipment</t>
  </si>
  <si>
    <t>remarks</t>
  </si>
  <si>
    <t>Sunny</t>
  </si>
  <si>
    <t>Normal operation</t>
  </si>
  <si>
    <t>2026-03-02</t>
  </si>
  <si>
    <t>Cloudy</t>
  </si>
  <si>
    <t>Good progress</t>
  </si>
  <si>
    <t>2026-03-03</t>
  </si>
  <si>
    <t>Ahead of schedule</t>
  </si>
  <si>
    <t>Rainy</t>
  </si>
  <si>
    <t>Rain delay - afternoon</t>
  </si>
  <si>
    <t>Catch up work</t>
  </si>
  <si>
    <t>2026-03-06</t>
  </si>
  <si>
    <t>2026-03-07</t>
  </si>
  <si>
    <t>Weekend overtime</t>
  </si>
  <si>
    <t>ทดสอบ</t>
  </si>
  <si>
    <t>STA 837+095 837+500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</si>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</sst>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E14" sqref="E14"/>
    </sheetView>
  </sheetViews>
  <sheetFormatPr defaultRowHeight="14.25" x14ac:dyDescent="0.2"/>
  <cols>
    <col min="1" max="1" width="21.125" customWidth="1"/>
    <col min="2" max="2" width="16.375" customWidth="1"/>
    <col min="3" max="3" width="18.5" customWidth="1"/>
    <col min="4" max="4" width="19.375" customWidth="1"/>
    <col min="5" max="5" width="19.25" customWidth="1"/>
    <col min="6" max="6" width="27.5" customWidth="1"/>
    <col min="7" max="7" width="25.8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45000</v>
      </c>
      <c r="D2">
        <v>5000</v>
      </c>
      <c r="E2">
        <f>C2-D2</f>
        <v>40000</v>
      </c>
      <c r="F2" t="s">
        <v>9</v>
      </c>
      <c r="G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E6" sqref="E6"/>
    </sheetView>
  </sheetViews>
  <sheetFormatPr defaultRowHeight="14.25" x14ac:dyDescent="0.2"/>
  <cols>
    <col min="1" max="1" width="25" customWidth="1"/>
    <col min="2" max="2" width="19.375" customWidth="1"/>
    <col min="4" max="4" width="14.75" customWidth="1"/>
    <col min="5" max="5" width="18.375" customWidth="1"/>
    <col min="6" max="6" width="17.375" customWidth="1"/>
  </cols>
  <sheetData>
    <row r="1" spans="1:6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3</v>
      </c>
      <c r="F1" s="1" t="s">
        <v>15</v>
      </c>
    </row>
    <row r="2" spans="1:6" x14ac:dyDescent="0.2">
      <c r="A2" t="s">
        <v>99</v>
      </c>
      <c r="B2" t="s">
        <v>17</v>
      </c>
      <c r="C2" t="s">
        <v>18</v>
      </c>
      <c r="D2">
        <v>5000</v>
      </c>
      <c r="E2">
        <v>5000</v>
      </c>
      <c r="F2" t="s">
        <v>19</v>
      </c>
    </row>
    <row r="3" spans="1:6" x14ac:dyDescent="0.2">
      <c r="A3" t="s">
        <v>20</v>
      </c>
      <c r="B3" t="s">
        <v>18</v>
      </c>
      <c r="C3" t="s">
        <v>21</v>
      </c>
      <c r="D3">
        <v>5000</v>
      </c>
      <c r="E3">
        <v>5000</v>
      </c>
      <c r="F3" t="s">
        <v>22</v>
      </c>
    </row>
    <row r="4" spans="1:6" x14ac:dyDescent="0.2">
      <c r="A4" t="s">
        <v>23</v>
      </c>
      <c r="B4" t="s">
        <v>21</v>
      </c>
      <c r="C4" t="s">
        <v>24</v>
      </c>
      <c r="D4">
        <v>5000</v>
      </c>
      <c r="E4">
        <v>5000</v>
      </c>
      <c r="F4" t="s">
        <v>19</v>
      </c>
    </row>
    <row r="5" spans="1:6" x14ac:dyDescent="0.2">
      <c r="A5" t="s">
        <v>25</v>
      </c>
      <c r="B5" t="s">
        <v>24</v>
      </c>
      <c r="C5" t="s">
        <v>26</v>
      </c>
      <c r="D5">
        <v>5000</v>
      </c>
      <c r="E5">
        <v>5000</v>
      </c>
      <c r="F5" t="s">
        <v>19</v>
      </c>
    </row>
    <row r="6" spans="1:6" x14ac:dyDescent="0.2">
      <c r="A6" t="s">
        <v>27</v>
      </c>
      <c r="B6" t="s">
        <v>26</v>
      </c>
      <c r="C6" t="s">
        <v>28</v>
      </c>
      <c r="D6">
        <v>5000</v>
      </c>
      <c r="E6">
        <v>0</v>
      </c>
      <c r="F6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G25" sqref="G25"/>
    </sheetView>
  </sheetViews>
  <sheetFormatPr defaultRowHeight="14.25" x14ac:dyDescent="0.2"/>
  <cols>
    <col min="1" max="1" width="26" customWidth="1"/>
    <col min="2" max="2" width="22.875" customWidth="1"/>
    <col min="3" max="3" width="17" customWidth="1"/>
    <col min="4" max="4" width="17.125" customWidth="1"/>
    <col min="5" max="5" width="22.125" customWidth="1"/>
    <col min="6" max="6" width="26" customWidth="1"/>
    <col min="7" max="7" width="23" customWidth="1"/>
    <col min="8" max="8" width="28.25" customWidth="1"/>
  </cols>
  <sheetData>
    <row r="1" spans="1:8" x14ac:dyDescent="0.2">
      <c r="A1" s="1" t="s">
        <v>11</v>
      </c>
      <c r="B1" s="1" t="s">
        <v>30</v>
      </c>
      <c r="C1" s="1" t="s">
        <v>31</v>
      </c>
      <c r="D1" s="1" t="s">
        <v>14</v>
      </c>
      <c r="E1" s="1" t="s">
        <v>3</v>
      </c>
      <c r="F1" s="1" t="s">
        <v>32</v>
      </c>
      <c r="G1" s="1" t="s">
        <v>15</v>
      </c>
      <c r="H1" s="1" t="s">
        <v>33</v>
      </c>
    </row>
    <row r="2" spans="1:8" x14ac:dyDescent="0.2">
      <c r="A2" s="2" t="s">
        <v>16</v>
      </c>
      <c r="B2" s="2">
        <v>1</v>
      </c>
      <c r="C2" s="2" t="s">
        <v>34</v>
      </c>
      <c r="D2" s="2">
        <v>12500</v>
      </c>
      <c r="E2" s="2">
        <v>12500</v>
      </c>
      <c r="F2" s="2">
        <v>0.3</v>
      </c>
      <c r="G2" s="2" t="s">
        <v>22</v>
      </c>
      <c r="H2" s="2" t="s">
        <v>35</v>
      </c>
    </row>
    <row r="3" spans="1:8" x14ac:dyDescent="0.2">
      <c r="A3" s="2" t="s">
        <v>16</v>
      </c>
      <c r="B3" s="2">
        <v>2</v>
      </c>
      <c r="C3" s="2" t="s">
        <v>36</v>
      </c>
      <c r="D3" s="2">
        <v>12500</v>
      </c>
      <c r="E3" s="2">
        <v>12500</v>
      </c>
      <c r="F3" s="2">
        <v>0.25</v>
      </c>
      <c r="G3" s="2" t="s">
        <v>22</v>
      </c>
      <c r="H3" s="2" t="s">
        <v>37</v>
      </c>
    </row>
    <row r="4" spans="1:8" x14ac:dyDescent="0.2">
      <c r="A4" s="2" t="s">
        <v>16</v>
      </c>
      <c r="B4" s="2">
        <v>3</v>
      </c>
      <c r="C4" s="2" t="s">
        <v>38</v>
      </c>
      <c r="D4" s="2">
        <v>12500</v>
      </c>
      <c r="E4" s="2">
        <v>12000</v>
      </c>
      <c r="F4" s="2">
        <v>0.2</v>
      </c>
      <c r="G4" s="2" t="s">
        <v>19</v>
      </c>
      <c r="H4" s="2"/>
    </row>
    <row r="5" spans="1:8" x14ac:dyDescent="0.2">
      <c r="A5" s="2" t="s">
        <v>16</v>
      </c>
      <c r="B5" s="2">
        <v>4</v>
      </c>
      <c r="C5" s="2" t="s">
        <v>39</v>
      </c>
      <c r="D5" s="2">
        <v>12500</v>
      </c>
      <c r="E5" s="2">
        <v>8000</v>
      </c>
      <c r="F5" s="2">
        <v>0.15</v>
      </c>
      <c r="G5" s="2" t="s">
        <v>19</v>
      </c>
      <c r="H5" s="2"/>
    </row>
    <row r="6" spans="1:8" x14ac:dyDescent="0.2">
      <c r="A6" s="2" t="s">
        <v>20</v>
      </c>
      <c r="B6" s="2">
        <v>1</v>
      </c>
      <c r="C6" s="2" t="s">
        <v>34</v>
      </c>
      <c r="D6" s="2">
        <v>15000</v>
      </c>
      <c r="E6" s="2">
        <v>15000</v>
      </c>
      <c r="F6" s="2">
        <v>0.3</v>
      </c>
      <c r="G6" s="2" t="s">
        <v>22</v>
      </c>
      <c r="H6" s="2" t="s">
        <v>40</v>
      </c>
    </row>
    <row r="7" spans="1:8" x14ac:dyDescent="0.2">
      <c r="A7" s="2" t="s">
        <v>20</v>
      </c>
      <c r="B7" s="2">
        <v>2</v>
      </c>
      <c r="C7" s="2" t="s">
        <v>36</v>
      </c>
      <c r="D7" s="2">
        <v>15000</v>
      </c>
      <c r="E7" s="2">
        <v>15000</v>
      </c>
      <c r="F7" s="2">
        <v>0.25</v>
      </c>
      <c r="G7" s="2" t="s">
        <v>22</v>
      </c>
      <c r="H7" s="2" t="s">
        <v>41</v>
      </c>
    </row>
    <row r="8" spans="1:8" x14ac:dyDescent="0.2">
      <c r="A8" s="2" t="s">
        <v>20</v>
      </c>
      <c r="B8" s="2">
        <v>3</v>
      </c>
      <c r="C8" s="2" t="s">
        <v>38</v>
      </c>
      <c r="D8" s="2">
        <v>15000</v>
      </c>
      <c r="E8" s="2">
        <v>15000</v>
      </c>
      <c r="F8" s="2">
        <v>0.2</v>
      </c>
      <c r="G8" s="2" t="s">
        <v>22</v>
      </c>
      <c r="H8" s="2" t="s">
        <v>42</v>
      </c>
    </row>
    <row r="9" spans="1:8" x14ac:dyDescent="0.2">
      <c r="A9" s="2" t="s">
        <v>20</v>
      </c>
      <c r="B9" s="2">
        <v>4</v>
      </c>
      <c r="C9" s="2" t="s">
        <v>39</v>
      </c>
      <c r="D9" s="2">
        <v>15000</v>
      </c>
      <c r="E9" s="2">
        <v>15000</v>
      </c>
      <c r="F9" s="2">
        <v>0.15</v>
      </c>
      <c r="G9" s="2" t="s">
        <v>22</v>
      </c>
      <c r="H9" s="2" t="s">
        <v>43</v>
      </c>
    </row>
    <row r="10" spans="1:8" x14ac:dyDescent="0.2">
      <c r="A10" s="2" t="s">
        <v>23</v>
      </c>
      <c r="B10" s="2">
        <v>1</v>
      </c>
      <c r="C10" s="2" t="s">
        <v>34</v>
      </c>
      <c r="D10" s="2">
        <v>13750</v>
      </c>
      <c r="E10" s="2">
        <v>13750</v>
      </c>
      <c r="F10" s="2">
        <v>0.3</v>
      </c>
      <c r="G10" s="2" t="s">
        <v>22</v>
      </c>
      <c r="H10" s="2" t="s">
        <v>44</v>
      </c>
    </row>
    <row r="11" spans="1:8" x14ac:dyDescent="0.2">
      <c r="A11" s="2" t="s">
        <v>23</v>
      </c>
      <c r="B11" s="2">
        <v>2</v>
      </c>
      <c r="C11" s="2" t="s">
        <v>36</v>
      </c>
      <c r="D11" s="2">
        <v>13750</v>
      </c>
      <c r="E11" s="2">
        <v>10000</v>
      </c>
      <c r="F11" s="2">
        <v>0.25</v>
      </c>
      <c r="G11" s="2" t="s">
        <v>19</v>
      </c>
      <c r="H11" s="2"/>
    </row>
    <row r="12" spans="1:8" x14ac:dyDescent="0.2">
      <c r="A12" s="2"/>
      <c r="B12" s="2"/>
      <c r="C12" s="2"/>
      <c r="D12" s="2"/>
      <c r="E12" s="2"/>
      <c r="F12" s="2"/>
      <c r="G12" s="2"/>
      <c r="H12" s="2"/>
    </row>
    <row r="13" spans="1:8" x14ac:dyDescent="0.2">
      <c r="A13" s="2"/>
      <c r="B13" s="2"/>
      <c r="C13" s="2"/>
      <c r="D13" s="2"/>
      <c r="E13" s="2"/>
      <c r="F13" s="2"/>
      <c r="G13" s="2"/>
      <c r="H13" s="2"/>
    </row>
    <row r="14" spans="1:8" x14ac:dyDescent="0.2">
      <c r="A14" s="2"/>
      <c r="B14" s="2"/>
      <c r="C14" s="2"/>
      <c r="D14" s="2"/>
      <c r="E14" s="2"/>
      <c r="F14" s="2"/>
      <c r="G14" s="2"/>
      <c r="H14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>
      <selection activeCell="G19" sqref="G19"/>
    </sheetView>
  </sheetViews>
  <sheetFormatPr defaultRowHeight="14.25" x14ac:dyDescent="0.2"/>
  <cols>
    <col min="1" max="1" width="21.125" customWidth="1"/>
    <col min="2" max="2" width="13.125" customWidth="1"/>
    <col min="3" max="3" width="13.375" customWidth="1"/>
    <col min="4" max="4" width="17.5" customWidth="1"/>
    <col min="5" max="5" width="14.625" customWidth="1"/>
    <col min="6" max="6" width="15.125" customWidth="1"/>
    <col min="7" max="7" width="19.75" customWidth="1"/>
    <col min="12" max="12" width="18.375" customWidth="1"/>
  </cols>
  <sheetData>
    <row r="1" spans="1:12" x14ac:dyDescent="0.2">
      <c r="A1" s="1" t="s">
        <v>11</v>
      </c>
      <c r="B1" s="1" t="s">
        <v>31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 x14ac:dyDescent="0.2">
      <c r="A2" s="2" t="s">
        <v>16</v>
      </c>
      <c r="B2" s="2" t="s">
        <v>98</v>
      </c>
      <c r="C2" s="2" t="s">
        <v>55</v>
      </c>
      <c r="D2" s="2" t="s">
        <v>56</v>
      </c>
      <c r="E2" s="2" t="s">
        <v>57</v>
      </c>
      <c r="F2" s="2">
        <v>2.0499999999999998</v>
      </c>
      <c r="G2" s="2">
        <v>2.1</v>
      </c>
      <c r="H2" s="2">
        <v>97.62</v>
      </c>
      <c r="I2" s="2">
        <v>8.5</v>
      </c>
      <c r="J2" s="2">
        <v>9</v>
      </c>
      <c r="K2" s="2" t="s">
        <v>58</v>
      </c>
      <c r="L2" s="2" t="s">
        <v>59</v>
      </c>
    </row>
    <row r="3" spans="1:12" x14ac:dyDescent="0.2">
      <c r="A3" s="2" t="s">
        <v>16</v>
      </c>
      <c r="B3" s="2" t="s">
        <v>36</v>
      </c>
      <c r="C3" s="2" t="s">
        <v>60</v>
      </c>
      <c r="D3" s="2" t="s">
        <v>56</v>
      </c>
      <c r="E3" s="2" t="s">
        <v>61</v>
      </c>
      <c r="F3" s="2">
        <v>2.08</v>
      </c>
      <c r="G3" s="2">
        <v>2.1</v>
      </c>
      <c r="H3" s="2">
        <v>99.05</v>
      </c>
      <c r="I3" s="2">
        <v>8.8000000000000007</v>
      </c>
      <c r="J3" s="2">
        <v>9</v>
      </c>
      <c r="K3" s="2" t="s">
        <v>58</v>
      </c>
      <c r="L3" s="2" t="s">
        <v>59</v>
      </c>
    </row>
    <row r="4" spans="1:12" x14ac:dyDescent="0.2">
      <c r="A4" s="2" t="s">
        <v>16</v>
      </c>
      <c r="B4" s="2" t="s">
        <v>38</v>
      </c>
      <c r="C4" s="2" t="s">
        <v>62</v>
      </c>
      <c r="D4" s="2" t="s">
        <v>56</v>
      </c>
      <c r="E4" s="2" t="s">
        <v>63</v>
      </c>
      <c r="F4" s="2">
        <v>1.98</v>
      </c>
      <c r="G4" s="2">
        <v>2.12</v>
      </c>
      <c r="H4" s="2">
        <v>93.4</v>
      </c>
      <c r="I4" s="2">
        <v>9.1999999999999993</v>
      </c>
      <c r="J4" s="2">
        <v>8.5</v>
      </c>
      <c r="K4" s="2" t="s">
        <v>64</v>
      </c>
      <c r="L4" s="2" t="s">
        <v>59</v>
      </c>
    </row>
    <row r="5" spans="1:12" x14ac:dyDescent="0.2">
      <c r="A5" s="2" t="s">
        <v>20</v>
      </c>
      <c r="B5" s="2" t="s">
        <v>34</v>
      </c>
      <c r="C5" s="2" t="s">
        <v>65</v>
      </c>
      <c r="D5" s="2" t="s">
        <v>56</v>
      </c>
      <c r="E5" s="2" t="s">
        <v>66</v>
      </c>
      <c r="F5" s="2">
        <v>2.12</v>
      </c>
      <c r="G5" s="2">
        <v>2.15</v>
      </c>
      <c r="H5" s="2">
        <v>98.6</v>
      </c>
      <c r="I5" s="2">
        <v>8.1999999999999993</v>
      </c>
      <c r="J5" s="2">
        <v>8.5</v>
      </c>
      <c r="K5" s="2" t="s">
        <v>58</v>
      </c>
      <c r="L5" s="2" t="s">
        <v>67</v>
      </c>
    </row>
    <row r="6" spans="1:12" x14ac:dyDescent="0.2">
      <c r="A6" s="2" t="s">
        <v>20</v>
      </c>
      <c r="B6" s="2" t="s">
        <v>36</v>
      </c>
      <c r="C6" s="2" t="s">
        <v>68</v>
      </c>
      <c r="D6" s="2" t="s">
        <v>69</v>
      </c>
      <c r="E6" s="2" t="s">
        <v>70</v>
      </c>
      <c r="F6" s="2"/>
      <c r="G6" s="2"/>
      <c r="H6" s="2"/>
      <c r="I6" s="2"/>
      <c r="J6" s="2"/>
      <c r="K6" s="2" t="s">
        <v>58</v>
      </c>
      <c r="L6" s="2" t="s">
        <v>67</v>
      </c>
    </row>
    <row r="7" spans="1:12" x14ac:dyDescent="0.2">
      <c r="A7" s="2" t="s">
        <v>20</v>
      </c>
      <c r="B7" s="2" t="s">
        <v>38</v>
      </c>
      <c r="C7" s="2" t="s">
        <v>71</v>
      </c>
      <c r="D7" s="2" t="s">
        <v>56</v>
      </c>
      <c r="E7" s="2" t="s">
        <v>72</v>
      </c>
      <c r="F7" s="2">
        <v>2.1</v>
      </c>
      <c r="G7" s="2">
        <v>2.12</v>
      </c>
      <c r="H7" s="2">
        <v>99.06</v>
      </c>
      <c r="I7" s="2">
        <v>8</v>
      </c>
      <c r="J7" s="2">
        <v>8.5</v>
      </c>
      <c r="K7" s="2" t="s">
        <v>58</v>
      </c>
      <c r="L7" s="2" t="s">
        <v>67</v>
      </c>
    </row>
    <row r="8" spans="1:12" x14ac:dyDescent="0.2">
      <c r="A8" s="2" t="s">
        <v>23</v>
      </c>
      <c r="B8" s="2" t="s">
        <v>34</v>
      </c>
      <c r="C8" s="2" t="s">
        <v>73</v>
      </c>
      <c r="D8" s="2" t="s">
        <v>56</v>
      </c>
      <c r="E8" s="2" t="s">
        <v>74</v>
      </c>
      <c r="F8" s="2">
        <v>2.06</v>
      </c>
      <c r="G8" s="2">
        <v>2.1</v>
      </c>
      <c r="H8" s="2">
        <v>98.1</v>
      </c>
      <c r="I8" s="2">
        <v>8.4</v>
      </c>
      <c r="J8" s="2">
        <v>9</v>
      </c>
      <c r="K8" s="2" t="s">
        <v>58</v>
      </c>
      <c r="L8" s="2" t="s">
        <v>75</v>
      </c>
    </row>
    <row r="9" spans="1:12" x14ac:dyDescent="0.2">
      <c r="A9" s="2" t="s">
        <v>23</v>
      </c>
      <c r="B9" s="2" t="s">
        <v>36</v>
      </c>
      <c r="C9" s="2" t="s">
        <v>76</v>
      </c>
      <c r="D9" s="2" t="s">
        <v>56</v>
      </c>
      <c r="E9" s="2" t="s">
        <v>77</v>
      </c>
      <c r="F9" s="2">
        <v>1.95</v>
      </c>
      <c r="G9" s="2">
        <v>2.1</v>
      </c>
      <c r="H9" s="2">
        <v>92.86</v>
      </c>
      <c r="I9" s="2">
        <v>9.5</v>
      </c>
      <c r="J9" s="2">
        <v>9</v>
      </c>
      <c r="K9" s="2" t="s">
        <v>64</v>
      </c>
      <c r="L9" s="2" t="s">
        <v>75</v>
      </c>
    </row>
    <row r="10" spans="1:12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tabSelected="1" workbookViewId="0">
      <selection activeCell="K19" sqref="K19"/>
    </sheetView>
  </sheetViews>
  <sheetFormatPr defaultRowHeight="14.25" x14ac:dyDescent="0.2"/>
  <cols>
    <col min="1" max="1" width="23.875" customWidth="1"/>
    <col min="2" max="2" width="21.875" customWidth="1"/>
    <col min="3" max="3" width="20.5" customWidth="1"/>
    <col min="4" max="4" width="14.625" customWidth="1"/>
    <col min="5" max="5" width="18.375" customWidth="1"/>
    <col min="6" max="6" width="16.5" customWidth="1"/>
    <col min="7" max="7" width="19.75" customWidth="1"/>
  </cols>
  <sheetData>
    <row r="1" spans="1:7" x14ac:dyDescent="0.2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">
      <c r="A2" s="2" t="s">
        <v>43</v>
      </c>
      <c r="B2" s="2">
        <v>300</v>
      </c>
      <c r="C2" s="2">
        <v>130000</v>
      </c>
      <c r="D2" s="2" t="s">
        <v>85</v>
      </c>
      <c r="E2" s="2">
        <v>45</v>
      </c>
      <c r="F2" s="2">
        <v>12</v>
      </c>
      <c r="G2" s="2" t="s">
        <v>86</v>
      </c>
    </row>
    <row r="3" spans="1:7" x14ac:dyDescent="0.2">
      <c r="A3" s="2" t="s">
        <v>87</v>
      </c>
      <c r="B3" s="2">
        <v>400</v>
      </c>
      <c r="C3" s="2">
        <v>133000</v>
      </c>
      <c r="D3" s="2" t="s">
        <v>88</v>
      </c>
      <c r="E3" s="2">
        <v>48</v>
      </c>
      <c r="F3" s="2">
        <v>12</v>
      </c>
      <c r="G3" s="2" t="s">
        <v>89</v>
      </c>
    </row>
    <row r="4" spans="1:7" x14ac:dyDescent="0.2">
      <c r="A4" s="2" t="s">
        <v>90</v>
      </c>
      <c r="B4" s="2">
        <v>300</v>
      </c>
      <c r="C4" s="2">
        <v>135800</v>
      </c>
      <c r="D4" s="2" t="s">
        <v>85</v>
      </c>
      <c r="E4" s="2">
        <v>50</v>
      </c>
      <c r="F4" s="2">
        <v>14</v>
      </c>
      <c r="G4" s="2" t="s">
        <v>91</v>
      </c>
    </row>
    <row r="5" spans="1:7" x14ac:dyDescent="0.2">
      <c r="A5" s="2" t="s">
        <v>76</v>
      </c>
      <c r="B5" s="2">
        <v>300</v>
      </c>
      <c r="C5" s="2">
        <v>138000</v>
      </c>
      <c r="D5" s="2" t="s">
        <v>92</v>
      </c>
      <c r="E5" s="2">
        <v>30</v>
      </c>
      <c r="F5" s="2">
        <v>8</v>
      </c>
      <c r="G5" s="2" t="s">
        <v>93</v>
      </c>
    </row>
    <row r="6" spans="1:7" x14ac:dyDescent="0.2">
      <c r="A6" s="2" t="s">
        <v>62</v>
      </c>
      <c r="B6" s="2">
        <v>300</v>
      </c>
      <c r="C6" s="2">
        <v>141200</v>
      </c>
      <c r="D6" s="2" t="s">
        <v>85</v>
      </c>
      <c r="E6" s="2">
        <v>52</v>
      </c>
      <c r="F6" s="2">
        <v>15</v>
      </c>
      <c r="G6" s="2" t="s">
        <v>94</v>
      </c>
    </row>
    <row r="7" spans="1:7" x14ac:dyDescent="0.2">
      <c r="A7" s="2" t="s">
        <v>95</v>
      </c>
      <c r="B7" s="2">
        <v>500</v>
      </c>
      <c r="C7" s="2">
        <v>144100</v>
      </c>
      <c r="D7" s="2" t="s">
        <v>85</v>
      </c>
      <c r="E7" s="2">
        <v>50</v>
      </c>
      <c r="F7" s="2">
        <v>14</v>
      </c>
      <c r="G7" s="2" t="s">
        <v>86</v>
      </c>
    </row>
    <row r="8" spans="1:7" x14ac:dyDescent="0.2">
      <c r="A8" s="2" t="s">
        <v>96</v>
      </c>
      <c r="B8" s="2">
        <v>2900</v>
      </c>
      <c r="C8" s="2">
        <v>147200</v>
      </c>
      <c r="D8" s="2" t="s">
        <v>88</v>
      </c>
      <c r="E8" s="2">
        <v>48</v>
      </c>
      <c r="F8" s="2">
        <v>13</v>
      </c>
      <c r="G8" s="2" t="s">
        <v>97</v>
      </c>
    </row>
    <row r="9" spans="1:7" x14ac:dyDescent="0.2">
      <c r="A9" s="2" t="s">
        <v>100</v>
      </c>
      <c r="B9" s="2">
        <v>2900</v>
      </c>
      <c r="C9" s="2">
        <v>147200</v>
      </c>
      <c r="D9" s="2" t="s">
        <v>88</v>
      </c>
      <c r="E9" s="2">
        <v>48</v>
      </c>
      <c r="F9" s="2"/>
      <c r="G9" s="2"/>
    </row>
    <row r="10" spans="1:7" x14ac:dyDescent="0.2">
      <c r="A10" s="2" t="s">
        <v>101</v>
      </c>
      <c r="B10" s="2">
        <v>2900</v>
      </c>
      <c r="C10" s="2">
        <v>147200</v>
      </c>
      <c r="D10" s="2" t="s">
        <v>88</v>
      </c>
      <c r="E10" s="2">
        <v>48</v>
      </c>
    </row>
    <row r="11" spans="1:7" x14ac:dyDescent="0.2">
      <c r="A11" s="2" t="s">
        <v>102</v>
      </c>
      <c r="B11" s="2">
        <v>2900</v>
      </c>
      <c r="C11" s="2">
        <v>147200</v>
      </c>
      <c r="D11" s="2" t="s">
        <v>88</v>
      </c>
      <c r="E11" s="2">
        <v>48</v>
      </c>
    </row>
    <row r="12" spans="1:7" x14ac:dyDescent="0.2">
      <c r="A12" s="2" t="s">
        <v>103</v>
      </c>
      <c r="B12" s="2">
        <v>2900</v>
      </c>
      <c r="C12" s="2">
        <v>147200</v>
      </c>
      <c r="D12" s="2" t="s">
        <v>88</v>
      </c>
      <c r="E12" s="2">
        <v>48</v>
      </c>
    </row>
    <row r="13" spans="1:7" x14ac:dyDescent="0.2">
      <c r="A13" s="2" t="s">
        <v>104</v>
      </c>
      <c r="B13" s="2">
        <v>2900</v>
      </c>
      <c r="C13" s="2">
        <v>147200</v>
      </c>
      <c r="D13" s="2" t="s">
        <v>88</v>
      </c>
      <c r="E13" s="2">
        <v>48</v>
      </c>
    </row>
    <row r="14" spans="1:7" x14ac:dyDescent="0.2">
      <c r="A14" s="2" t="s">
        <v>105</v>
      </c>
      <c r="B14" s="2">
        <v>2900</v>
      </c>
      <c r="C14" s="2">
        <v>147200</v>
      </c>
      <c r="D14" s="2" t="s">
        <v>88</v>
      </c>
      <c r="E14" s="2">
        <v>48</v>
      </c>
    </row>
    <row r="15" spans="1:7" x14ac:dyDescent="0.2">
      <c r="A15" s="2" t="s">
        <v>106</v>
      </c>
      <c r="B15" s="2">
        <v>2900</v>
      </c>
      <c r="C15" s="2">
        <v>147200</v>
      </c>
      <c r="D15" s="2" t="s">
        <v>88</v>
      </c>
      <c r="E15" s="2">
        <v>48</v>
      </c>
    </row>
    <row r="16" spans="1:7" x14ac:dyDescent="0.2">
      <c r="A16" s="2" t="s">
        <v>107</v>
      </c>
      <c r="B16" s="2">
        <v>2900</v>
      </c>
      <c r="C16" s="2">
        <v>147200</v>
      </c>
      <c r="D16" s="2" t="s">
        <v>88</v>
      </c>
      <c r="E16" s="2">
        <v>48</v>
      </c>
    </row>
    <row r="17" spans="1:5" x14ac:dyDescent="0.2">
      <c r="A17" s="2" t="s">
        <v>108</v>
      </c>
      <c r="B17" s="2">
        <v>2900</v>
      </c>
      <c r="C17" s="2">
        <v>147200</v>
      </c>
      <c r="D17" s="2" t="s">
        <v>88</v>
      </c>
      <c r="E17" s="2">
        <v>48</v>
      </c>
    </row>
    <row r="18" spans="1:5" x14ac:dyDescent="0.2">
      <c r="A18" s="2" t="s">
        <v>109</v>
      </c>
      <c r="B18" s="2">
        <v>2900</v>
      </c>
      <c r="C18" s="2">
        <v>147200</v>
      </c>
      <c r="D18" s="2" t="s">
        <v>88</v>
      </c>
      <c r="E18" s="2">
        <v>48</v>
      </c>
    </row>
    <row r="19" spans="1:5" x14ac:dyDescent="0.2">
      <c r="A19" s="2" t="s">
        <v>110</v>
      </c>
      <c r="B19" s="2">
        <v>2900</v>
      </c>
      <c r="C19" s="2">
        <v>147200</v>
      </c>
      <c r="D19" s="2" t="s">
        <v>88</v>
      </c>
      <c r="E19" s="2">
        <v>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Summary</vt:lpstr>
      <vt:lpstr>STA_Progress</vt:lpstr>
      <vt:lpstr>Layer_Progress</vt:lpstr>
      <vt:lpstr>QAQC_Tests</vt:lpstr>
      <vt:lpstr>Daily_Progress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titiwat thanggad</cp:lastModifiedBy>
  <dcterms:created xsi:type="dcterms:W3CDTF">2026-03-08T12:19:41Z</dcterms:created>
  <dcterms:modified xsi:type="dcterms:W3CDTF">2026-03-09T06:53:35Z</dcterms:modified>
</cp:coreProperties>
</file>